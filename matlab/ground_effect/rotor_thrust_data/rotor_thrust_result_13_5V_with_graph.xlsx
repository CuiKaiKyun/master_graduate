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10" windowWidth="18490" windowHeight="6720"/>
  </bookViews>
  <sheets>
    <sheet name="rotor_thrust_result_13_5V_with_" sheetId="1" r:id="rId1"/>
  </sheets>
  <calcPr calcId="0"/>
</workbook>
</file>

<file path=xl/calcChain.xml><?xml version="1.0" encoding="utf-8"?>
<calcChain xmlns="http://schemas.openxmlformats.org/spreadsheetml/2006/main">
  <c r="L4" i="1"/>
  <c r="L5"/>
  <c r="L6"/>
  <c r="L7"/>
  <c r="L8"/>
  <c r="L9"/>
  <c r="L10"/>
  <c r="L11"/>
  <c r="L12"/>
  <c r="L13"/>
  <c r="L14"/>
  <c r="L15"/>
  <c r="L16"/>
  <c r="L17"/>
  <c r="L18"/>
  <c r="L19"/>
  <c r="L20"/>
  <c r="L21"/>
  <c r="L3"/>
</calcChain>
</file>

<file path=xl/sharedStrings.xml><?xml version="1.0" encoding="utf-8"?>
<sst xmlns="http://schemas.openxmlformats.org/spreadsheetml/2006/main" count="14" uniqueCount="13">
  <si>
    <t>time(s)</t>
  </si>
  <si>
    <t>motor output</t>
  </si>
  <si>
    <t>force_x(N)</t>
  </si>
  <si>
    <t>force_y(N)</t>
  </si>
  <si>
    <t>force_z(N)</t>
  </si>
  <si>
    <t>moment_x(N路m)</t>
  </si>
  <si>
    <t>moment_y(N路m)</t>
  </si>
  <si>
    <t>moment_z(N路m)</t>
  </si>
  <si>
    <t>0094</t>
  </si>
  <si>
    <t>00099</t>
  </si>
  <si>
    <t>battery</t>
    <phoneticPr fontId="18" type="noConversion"/>
  </si>
  <si>
    <t>rotor speed(rad/s)</t>
    <phoneticPr fontId="18" type="noConversion"/>
  </si>
  <si>
    <t>12.96V等效输出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</si>
</sst>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8.1454943132108493E-2"/>
                  <c:y val="8.7810971379264097E-3"/>
                </c:manualLayout>
              </c:layout>
              <c:numFmt formatCode="General" sourceLinked="0"/>
            </c:trendlineLbl>
          </c:trendline>
          <c:xVal>
            <c:numRef>
              <c:f>rotor_thrust_result_13_5V_with_!$B$3:$B$21</c:f>
              <c:numCache>
                <c:formatCode>General</c:formatCode>
                <c:ptCount val="19"/>
                <c:pt idx="0">
                  <c:v>0.47999000000000003</c:v>
                </c:pt>
                <c:pt idx="1">
                  <c:v>0.48498999999999998</c:v>
                </c:pt>
                <c:pt idx="2">
                  <c:v>0.48998999999999998</c:v>
                </c:pt>
                <c:pt idx="3">
                  <c:v>0.49498999999999999</c:v>
                </c:pt>
                <c:pt idx="4">
                  <c:v>0.5</c:v>
                </c:pt>
                <c:pt idx="5">
                  <c:v>0.505</c:v>
                </c:pt>
                <c:pt idx="6">
                  <c:v>0.50999000000000005</c:v>
                </c:pt>
                <c:pt idx="7">
                  <c:v>0.51498999999999995</c:v>
                </c:pt>
                <c:pt idx="8">
                  <c:v>0.51998999999999995</c:v>
                </c:pt>
                <c:pt idx="9">
                  <c:v>0.52500000000000002</c:v>
                </c:pt>
                <c:pt idx="10">
                  <c:v>0.52998999999999996</c:v>
                </c:pt>
                <c:pt idx="11">
                  <c:v>0.53498999999999997</c:v>
                </c:pt>
                <c:pt idx="12">
                  <c:v>0.53998999999999997</c:v>
                </c:pt>
                <c:pt idx="13">
                  <c:v>0.54498999999999997</c:v>
                </c:pt>
                <c:pt idx="14">
                  <c:v>0.55000000000000004</c:v>
                </c:pt>
                <c:pt idx="15">
                  <c:v>0.55500000000000005</c:v>
                </c:pt>
                <c:pt idx="16">
                  <c:v>0.55998999999999999</c:v>
                </c:pt>
                <c:pt idx="17">
                  <c:v>0.56499999999999995</c:v>
                </c:pt>
                <c:pt idx="18">
                  <c:v>0.56999</c:v>
                </c:pt>
              </c:numCache>
            </c:numRef>
          </c:xVal>
          <c:yVal>
            <c:numRef>
              <c:f>rotor_thrust_result_13_5V_with_!$C$3:$C$21</c:f>
              <c:numCache>
                <c:formatCode>General</c:formatCode>
                <c:ptCount val="19"/>
                <c:pt idx="0">
                  <c:v>700.71954000000005</c:v>
                </c:pt>
                <c:pt idx="1">
                  <c:v>704.77301</c:v>
                </c:pt>
                <c:pt idx="2">
                  <c:v>711.69255999999996</c:v>
                </c:pt>
                <c:pt idx="3">
                  <c:v>716.01567999999997</c:v>
                </c:pt>
                <c:pt idx="4">
                  <c:v>722.86401000000001</c:v>
                </c:pt>
                <c:pt idx="5">
                  <c:v>723.48119999999994</c:v>
                </c:pt>
                <c:pt idx="6">
                  <c:v>735.20947000000001</c:v>
                </c:pt>
                <c:pt idx="7">
                  <c:v>736.62860000000001</c:v>
                </c:pt>
                <c:pt idx="8">
                  <c:v>739.16216999999995</c:v>
                </c:pt>
                <c:pt idx="9">
                  <c:v>741.39648</c:v>
                </c:pt>
                <c:pt idx="10">
                  <c:v>746.42363999999998</c:v>
                </c:pt>
                <c:pt idx="11">
                  <c:v>755.01158999999996</c:v>
                </c:pt>
                <c:pt idx="12">
                  <c:v>764.90446999999995</c:v>
                </c:pt>
                <c:pt idx="13">
                  <c:v>765.66668000000004</c:v>
                </c:pt>
                <c:pt idx="14">
                  <c:v>776.54112999999995</c:v>
                </c:pt>
                <c:pt idx="15">
                  <c:v>782.03393000000005</c:v>
                </c:pt>
                <c:pt idx="16">
                  <c:v>783.48833999999999</c:v>
                </c:pt>
                <c:pt idx="17">
                  <c:v>789.69701999999995</c:v>
                </c:pt>
                <c:pt idx="18">
                  <c:v>793.62352999999996</c:v>
                </c:pt>
              </c:numCache>
            </c:numRef>
          </c:yVal>
        </c:ser>
        <c:axId val="274069760"/>
        <c:axId val="273668352"/>
      </c:scatterChart>
      <c:valAx>
        <c:axId val="274069760"/>
        <c:scaling>
          <c:orientation val="minMax"/>
        </c:scaling>
        <c:axPos val="b"/>
        <c:numFmt formatCode="General" sourceLinked="1"/>
        <c:tickLblPos val="nextTo"/>
        <c:crossAx val="273668352"/>
        <c:crosses val="autoZero"/>
        <c:crossBetween val="midCat"/>
      </c:valAx>
      <c:valAx>
        <c:axId val="273668352"/>
        <c:scaling>
          <c:orientation val="minMax"/>
        </c:scaling>
        <c:axPos val="l"/>
        <c:majorGridlines/>
        <c:numFmt formatCode="General" sourceLinked="1"/>
        <c:tickLblPos val="nextTo"/>
        <c:crossAx val="2740697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9.2682633420822391E-2"/>
                  <c:y val="5.0431001813210197E-2"/>
                </c:manualLayout>
              </c:layout>
              <c:numFmt formatCode="General" sourceLinked="0"/>
            </c:trendlineLbl>
          </c:trendline>
          <c:xVal>
            <c:numRef>
              <c:f>rotor_thrust_result_13_5V_with_!$L$3:$L$21</c:f>
              <c:numCache>
                <c:formatCode>General</c:formatCode>
                <c:ptCount val="19"/>
                <c:pt idx="0">
                  <c:v>0.48506396836419746</c:v>
                </c:pt>
                <c:pt idx="1">
                  <c:v>0.48959291435185182</c:v>
                </c:pt>
                <c:pt idx="2">
                  <c:v>0.49365736342592592</c:v>
                </c:pt>
                <c:pt idx="3">
                  <c:v>0.49888575462962953</c:v>
                </c:pt>
                <c:pt idx="4">
                  <c:v>0.50385802469135799</c:v>
                </c:pt>
                <c:pt idx="5">
                  <c:v>0.50827314814814817</c:v>
                </c:pt>
                <c:pt idx="6">
                  <c:v>0.51294133101851858</c:v>
                </c:pt>
                <c:pt idx="7">
                  <c:v>0.51777158179012328</c:v>
                </c:pt>
                <c:pt idx="8">
                  <c:v>0.52207637962962949</c:v>
                </c:pt>
                <c:pt idx="9">
                  <c:v>0.52662037037037035</c:v>
                </c:pt>
                <c:pt idx="10">
                  <c:v>0.53219829166666655</c:v>
                </c:pt>
                <c:pt idx="11">
                  <c:v>0.53664120370370361</c:v>
                </c:pt>
                <c:pt idx="12">
                  <c:v>0.5413233086419752</c:v>
                </c:pt>
                <c:pt idx="13">
                  <c:v>0.54574693055555545</c:v>
                </c:pt>
                <c:pt idx="14">
                  <c:v>0.55084876543209882</c:v>
                </c:pt>
                <c:pt idx="15">
                  <c:v>0.55547106481481479</c:v>
                </c:pt>
                <c:pt idx="16">
                  <c:v>0.55947149074074076</c:v>
                </c:pt>
                <c:pt idx="17">
                  <c:v>0.56499999999999995</c:v>
                </c:pt>
                <c:pt idx="18">
                  <c:v>0.56889048225308636</c:v>
                </c:pt>
              </c:numCache>
            </c:numRef>
          </c:xVal>
          <c:yVal>
            <c:numRef>
              <c:f>rotor_thrust_result_13_5V_with_!$M$3:$M$21</c:f>
              <c:numCache>
                <c:formatCode>General</c:formatCode>
                <c:ptCount val="19"/>
                <c:pt idx="0">
                  <c:v>700.71954000000005</c:v>
                </c:pt>
                <c:pt idx="1">
                  <c:v>704.77301</c:v>
                </c:pt>
                <c:pt idx="2">
                  <c:v>711.69255999999996</c:v>
                </c:pt>
                <c:pt idx="3">
                  <c:v>716.01567999999997</c:v>
                </c:pt>
                <c:pt idx="4">
                  <c:v>722.86401000000001</c:v>
                </c:pt>
                <c:pt idx="5">
                  <c:v>723.48119999999994</c:v>
                </c:pt>
                <c:pt idx="6">
                  <c:v>735.20947000000001</c:v>
                </c:pt>
                <c:pt idx="7">
                  <c:v>736.62860000000001</c:v>
                </c:pt>
                <c:pt idx="8">
                  <c:v>739.16216999999995</c:v>
                </c:pt>
                <c:pt idx="9">
                  <c:v>741.39648</c:v>
                </c:pt>
                <c:pt idx="10">
                  <c:v>746.42363999999998</c:v>
                </c:pt>
                <c:pt idx="11">
                  <c:v>755.01158999999996</c:v>
                </c:pt>
                <c:pt idx="12">
                  <c:v>764.90446999999995</c:v>
                </c:pt>
                <c:pt idx="13">
                  <c:v>765.66668000000004</c:v>
                </c:pt>
                <c:pt idx="14">
                  <c:v>776.54112999999995</c:v>
                </c:pt>
                <c:pt idx="15">
                  <c:v>782.03393000000005</c:v>
                </c:pt>
                <c:pt idx="16">
                  <c:v>783.48833999999999</c:v>
                </c:pt>
                <c:pt idx="17">
                  <c:v>789.69701999999995</c:v>
                </c:pt>
                <c:pt idx="18">
                  <c:v>793.62352999999996</c:v>
                </c:pt>
              </c:numCache>
            </c:numRef>
          </c:yVal>
        </c:ser>
        <c:axId val="276615936"/>
        <c:axId val="276023168"/>
      </c:scatterChart>
      <c:valAx>
        <c:axId val="276615936"/>
        <c:scaling>
          <c:orientation val="minMax"/>
        </c:scaling>
        <c:axPos val="b"/>
        <c:numFmt formatCode="General" sourceLinked="1"/>
        <c:tickLblPos val="nextTo"/>
        <c:crossAx val="276023168"/>
        <c:crosses val="autoZero"/>
        <c:crossBetween val="midCat"/>
      </c:valAx>
      <c:valAx>
        <c:axId val="276023168"/>
        <c:scaling>
          <c:orientation val="minMax"/>
        </c:scaling>
        <c:axPos val="l"/>
        <c:majorGridlines/>
        <c:numFmt formatCode="General" sourceLinked="1"/>
        <c:tickLblPos val="nextTo"/>
        <c:crossAx val="2766159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38653</xdr:colOff>
      <xdr:row>22</xdr:row>
      <xdr:rowOff>11044</xdr:rowOff>
    </xdr:from>
    <xdr:to>
      <xdr:col>6</xdr:col>
      <xdr:colOff>314740</xdr:colOff>
      <xdr:row>37</xdr:row>
      <xdr:rowOff>104913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585305</xdr:colOff>
      <xdr:row>22</xdr:row>
      <xdr:rowOff>0</xdr:rowOff>
    </xdr:from>
    <xdr:to>
      <xdr:col>14</xdr:col>
      <xdr:colOff>298175</xdr:colOff>
      <xdr:row>37</xdr:row>
      <xdr:rowOff>93869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topLeftCell="A17" zoomScale="115" zoomScaleNormal="115" workbookViewId="0">
      <selection activeCell="L1" sqref="L1"/>
    </sheetView>
  </sheetViews>
  <sheetFormatPr defaultRowHeight="14"/>
  <cols>
    <col min="6" max="6" width="18" customWidth="1"/>
  </cols>
  <sheetData>
    <row r="1" spans="1:1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10</v>
      </c>
      <c r="L1" t="s">
        <v>12</v>
      </c>
      <c r="M1" t="s">
        <v>11</v>
      </c>
    </row>
    <row r="2" spans="1:13">
      <c r="A2">
        <v>3.0002900000000001</v>
      </c>
      <c r="B2">
        <v>0</v>
      </c>
      <c r="C2">
        <v>0</v>
      </c>
      <c r="D2">
        <v>0.59406000000000003</v>
      </c>
      <c r="E2">
        <v>-0.41221000000000002</v>
      </c>
      <c r="F2">
        <v>43.234430000000003</v>
      </c>
      <c r="G2">
        <v>-0.2336</v>
      </c>
      <c r="H2">
        <v>-0.30531999999999998</v>
      </c>
      <c r="I2">
        <v>-4.5900000000000003E-3</v>
      </c>
    </row>
    <row r="3" spans="1:13">
      <c r="A3">
        <v>10.00001</v>
      </c>
      <c r="B3">
        <v>0.47999000000000003</v>
      </c>
      <c r="C3">
        <v>700.71954000000005</v>
      </c>
      <c r="D3">
        <v>0.87983</v>
      </c>
      <c r="E3">
        <v>-9.8040000000000002E-2</v>
      </c>
      <c r="F3">
        <v>40.123179999999998</v>
      </c>
      <c r="G3">
        <v>-0.24065</v>
      </c>
      <c r="H3">
        <v>-0.31026999999999999</v>
      </c>
      <c r="I3">
        <v>4.1399999999999996E-3</v>
      </c>
      <c r="K3">
        <v>13.097</v>
      </c>
      <c r="L3">
        <f>B3*K3/12.96</f>
        <v>0.48506396836419746</v>
      </c>
      <c r="M3">
        <v>700.71954000000005</v>
      </c>
    </row>
    <row r="4" spans="1:13">
      <c r="A4">
        <v>20.000900000000001</v>
      </c>
      <c r="B4">
        <v>0.48498999999999998</v>
      </c>
      <c r="C4">
        <v>704.77301</v>
      </c>
      <c r="D4">
        <v>0.91137999999999997</v>
      </c>
      <c r="E4">
        <v>-7.7549999999999994E-2</v>
      </c>
      <c r="F4">
        <v>39.961570000000002</v>
      </c>
      <c r="G4">
        <v>-0.2354</v>
      </c>
      <c r="H4">
        <v>-0.31014999999999998</v>
      </c>
      <c r="I4">
        <v>-4.6100000000000004E-3</v>
      </c>
      <c r="K4">
        <v>13.083</v>
      </c>
      <c r="L4">
        <f t="shared" ref="L4:L21" si="0">B4*K4/12.96</f>
        <v>0.48959291435185182</v>
      </c>
      <c r="M4">
        <v>704.77301</v>
      </c>
    </row>
    <row r="5" spans="1:13">
      <c r="A5">
        <v>30.00095</v>
      </c>
      <c r="B5">
        <v>0.48998999999999998</v>
      </c>
      <c r="C5">
        <v>711.69255999999996</v>
      </c>
      <c r="D5">
        <v>0.87500999999999995</v>
      </c>
      <c r="E5">
        <v>-5.4730000000000001E-2</v>
      </c>
      <c r="F5">
        <v>39.915039999999998</v>
      </c>
      <c r="G5">
        <v>-0.24046999999999999</v>
      </c>
      <c r="H5">
        <v>-0.31353999999999999</v>
      </c>
      <c r="I5">
        <v>-1.42E-3</v>
      </c>
      <c r="K5">
        <v>13.057</v>
      </c>
      <c r="L5">
        <f t="shared" si="0"/>
        <v>0.49365736342592592</v>
      </c>
      <c r="M5">
        <v>711.69255999999996</v>
      </c>
    </row>
    <row r="6" spans="1:13">
      <c r="A6">
        <v>40.000909999999998</v>
      </c>
      <c r="B6">
        <v>0.49498999999999999</v>
      </c>
      <c r="C6">
        <v>716.01567999999997</v>
      </c>
      <c r="D6">
        <v>0.93106999999999995</v>
      </c>
      <c r="E6">
        <v>-0.11446000000000001</v>
      </c>
      <c r="F6">
        <v>39.858510000000003</v>
      </c>
      <c r="G6">
        <v>-0.23816999999999999</v>
      </c>
      <c r="H6">
        <v>-0.30785000000000001</v>
      </c>
      <c r="I6">
        <v>2.14E-3</v>
      </c>
      <c r="K6">
        <v>13.061999999999999</v>
      </c>
      <c r="L6">
        <f t="shared" si="0"/>
        <v>0.49888575462962953</v>
      </c>
      <c r="M6">
        <v>716.01567999999997</v>
      </c>
    </row>
    <row r="7" spans="1:13">
      <c r="A7" t="s">
        <v>8</v>
      </c>
      <c r="B7">
        <v>0.5</v>
      </c>
      <c r="C7">
        <v>722.86401000000001</v>
      </c>
      <c r="D7">
        <v>0.91527000000000003</v>
      </c>
      <c r="E7">
        <v>-8.9700000000000005E-3</v>
      </c>
      <c r="F7">
        <v>39.773029999999999</v>
      </c>
      <c r="G7">
        <v>-0.24013000000000001</v>
      </c>
      <c r="H7">
        <v>-0.30459999999999998</v>
      </c>
      <c r="I7">
        <v>4.1700000000000001E-3</v>
      </c>
      <c r="K7">
        <v>13.06</v>
      </c>
      <c r="L7">
        <f t="shared" si="0"/>
        <v>0.50385802469135799</v>
      </c>
      <c r="M7">
        <v>722.86401000000001</v>
      </c>
    </row>
    <row r="8" spans="1:13">
      <c r="A8">
        <v>60.000880000000002</v>
      </c>
      <c r="B8">
        <v>0.505</v>
      </c>
      <c r="C8">
        <v>723.48119999999994</v>
      </c>
      <c r="D8">
        <v>0.84853000000000001</v>
      </c>
      <c r="E8">
        <v>-2.9080000000000002E-2</v>
      </c>
      <c r="F8">
        <v>39.664790000000004</v>
      </c>
      <c r="G8">
        <v>-0.23573</v>
      </c>
      <c r="H8">
        <v>-0.31225999999999998</v>
      </c>
      <c r="I8">
        <v>-7.79E-3</v>
      </c>
      <c r="K8">
        <v>13.044</v>
      </c>
      <c r="L8">
        <f t="shared" si="0"/>
        <v>0.50827314814814817</v>
      </c>
      <c r="M8">
        <v>723.48119999999994</v>
      </c>
    </row>
    <row r="9" spans="1:13">
      <c r="A9">
        <v>70.001000000000005</v>
      </c>
      <c r="B9">
        <v>0.50999000000000005</v>
      </c>
      <c r="C9">
        <v>735.20947000000001</v>
      </c>
      <c r="D9">
        <v>0.87105999999999995</v>
      </c>
      <c r="E9">
        <v>-4.8829999999999998E-2</v>
      </c>
      <c r="F9">
        <v>39.699249999999999</v>
      </c>
      <c r="G9">
        <v>-0.24037</v>
      </c>
      <c r="H9">
        <v>-0.31012000000000001</v>
      </c>
      <c r="I9">
        <v>3.0999999999999999E-3</v>
      </c>
      <c r="K9">
        <v>13.035</v>
      </c>
      <c r="L9">
        <f t="shared" si="0"/>
        <v>0.51294133101851858</v>
      </c>
      <c r="M9">
        <v>735.20947000000001</v>
      </c>
    </row>
    <row r="10" spans="1:13">
      <c r="A10">
        <v>80.001009999999994</v>
      </c>
      <c r="B10">
        <v>0.51498999999999995</v>
      </c>
      <c r="C10">
        <v>736.62860000000001</v>
      </c>
      <c r="D10">
        <v>0.99531999999999998</v>
      </c>
      <c r="E10">
        <v>-0.11778</v>
      </c>
      <c r="F10">
        <v>39.535719999999998</v>
      </c>
      <c r="G10">
        <v>-0.23296</v>
      </c>
      <c r="H10">
        <v>-0.30908999999999998</v>
      </c>
      <c r="I10">
        <v>-1.1610000000000001E-2</v>
      </c>
      <c r="K10">
        <v>13.03</v>
      </c>
      <c r="L10">
        <f t="shared" si="0"/>
        <v>0.51777158179012328</v>
      </c>
      <c r="M10">
        <v>736.62860000000001</v>
      </c>
    </row>
    <row r="11" spans="1:13">
      <c r="A11">
        <v>90.000919999999994</v>
      </c>
      <c r="B11">
        <v>0.51998999999999995</v>
      </c>
      <c r="C11">
        <v>739.16216999999995</v>
      </c>
      <c r="D11">
        <v>0.89581999999999995</v>
      </c>
      <c r="E11">
        <v>-0.15407000000000001</v>
      </c>
      <c r="F11">
        <v>39.460129999999999</v>
      </c>
      <c r="G11">
        <v>-0.23202</v>
      </c>
      <c r="H11">
        <v>-0.31065999999999999</v>
      </c>
      <c r="I11">
        <v>-1.619E-2</v>
      </c>
      <c r="K11">
        <v>13.012</v>
      </c>
      <c r="L11">
        <f t="shared" si="0"/>
        <v>0.52207637962962949</v>
      </c>
      <c r="M11">
        <v>739.16216999999995</v>
      </c>
    </row>
    <row r="12" spans="1:13">
      <c r="A12">
        <v>100.00001</v>
      </c>
      <c r="B12">
        <v>0.52500000000000002</v>
      </c>
      <c r="C12">
        <v>741.39648</v>
      </c>
      <c r="D12">
        <v>0.86926000000000003</v>
      </c>
      <c r="E12">
        <v>-0.1628</v>
      </c>
      <c r="F12">
        <v>39.428620000000002</v>
      </c>
      <c r="G12">
        <v>-0.23610999999999999</v>
      </c>
      <c r="H12">
        <v>-0.30660999999999999</v>
      </c>
      <c r="I12">
        <v>-2.5690000000000001E-2</v>
      </c>
      <c r="K12">
        <v>13</v>
      </c>
      <c r="L12">
        <f t="shared" si="0"/>
        <v>0.52662037037037035</v>
      </c>
      <c r="M12">
        <v>741.39648</v>
      </c>
    </row>
    <row r="13" spans="1:13">
      <c r="A13">
        <v>110.00099</v>
      </c>
      <c r="B13">
        <v>0.52998999999999996</v>
      </c>
      <c r="C13">
        <v>746.42363999999998</v>
      </c>
      <c r="D13">
        <v>0.91749999999999998</v>
      </c>
      <c r="E13">
        <v>-0.17305000000000001</v>
      </c>
      <c r="F13">
        <v>39.354239999999997</v>
      </c>
      <c r="G13">
        <v>-0.23493</v>
      </c>
      <c r="H13">
        <v>-0.30864000000000003</v>
      </c>
      <c r="I13">
        <v>-2.282E-2</v>
      </c>
      <c r="K13">
        <v>13.013999999999999</v>
      </c>
      <c r="L13">
        <f t="shared" si="0"/>
        <v>0.53219829166666655</v>
      </c>
      <c r="M13">
        <v>746.42363999999998</v>
      </c>
    </row>
    <row r="14" spans="1:13">
      <c r="A14">
        <v>120.00002000000001</v>
      </c>
      <c r="B14">
        <v>0.53498999999999997</v>
      </c>
      <c r="C14">
        <v>755.01158999999996</v>
      </c>
      <c r="D14">
        <v>0.96253999999999995</v>
      </c>
      <c r="E14">
        <v>-0.15501999999999999</v>
      </c>
      <c r="F14">
        <v>39.346249999999998</v>
      </c>
      <c r="G14">
        <v>-0.23346</v>
      </c>
      <c r="H14">
        <v>-0.30706</v>
      </c>
      <c r="I14">
        <v>-1.6729999999999998E-2</v>
      </c>
      <c r="K14">
        <v>13</v>
      </c>
      <c r="L14">
        <f t="shared" si="0"/>
        <v>0.53664120370370361</v>
      </c>
      <c r="M14">
        <v>755.01158999999996</v>
      </c>
    </row>
    <row r="15" spans="1:13">
      <c r="A15">
        <v>130.0009</v>
      </c>
      <c r="B15">
        <v>0.53998999999999997</v>
      </c>
      <c r="C15">
        <v>764.90446999999995</v>
      </c>
      <c r="D15">
        <v>1.0219800000000001</v>
      </c>
      <c r="E15">
        <v>-8.795E-2</v>
      </c>
      <c r="F15">
        <v>39.311259999999997</v>
      </c>
      <c r="G15">
        <v>-0.23568</v>
      </c>
      <c r="H15">
        <v>-0.30526999999999999</v>
      </c>
      <c r="I15">
        <v>6.0000000000000002E-5</v>
      </c>
      <c r="K15">
        <v>12.992000000000001</v>
      </c>
      <c r="L15">
        <f t="shared" si="0"/>
        <v>0.5413233086419752</v>
      </c>
      <c r="M15">
        <v>764.90446999999995</v>
      </c>
    </row>
    <row r="16" spans="1:13">
      <c r="A16">
        <v>140.001</v>
      </c>
      <c r="B16">
        <v>0.54498999999999997</v>
      </c>
      <c r="C16">
        <v>765.66668000000004</v>
      </c>
      <c r="D16">
        <v>0.87651999999999997</v>
      </c>
      <c r="E16">
        <v>-0.16172</v>
      </c>
      <c r="F16">
        <v>39.273879999999998</v>
      </c>
      <c r="G16">
        <v>-0.2414</v>
      </c>
      <c r="H16">
        <v>-0.30876999999999999</v>
      </c>
      <c r="I16">
        <v>-1.609E-2</v>
      </c>
      <c r="K16">
        <v>12.978</v>
      </c>
      <c r="L16">
        <f t="shared" si="0"/>
        <v>0.54574693055555545</v>
      </c>
      <c r="M16">
        <v>765.66668000000004</v>
      </c>
    </row>
    <row r="17" spans="1:13">
      <c r="A17">
        <v>150.00091</v>
      </c>
      <c r="B17">
        <v>0.55000000000000004</v>
      </c>
      <c r="C17">
        <v>776.54112999999995</v>
      </c>
      <c r="D17">
        <v>0.95065999999999995</v>
      </c>
      <c r="E17">
        <v>-4.1029999999999997E-2</v>
      </c>
      <c r="F17">
        <v>39.280189999999997</v>
      </c>
      <c r="G17">
        <v>-0.24465000000000001</v>
      </c>
      <c r="H17">
        <v>-0.30709999999999998</v>
      </c>
      <c r="I17">
        <v>4.1399999999999996E-3</v>
      </c>
      <c r="K17">
        <v>12.98</v>
      </c>
      <c r="L17">
        <f t="shared" si="0"/>
        <v>0.55084876543209882</v>
      </c>
      <c r="M17">
        <v>776.54112999999995</v>
      </c>
    </row>
    <row r="18" spans="1:13">
      <c r="A18">
        <v>160.00099</v>
      </c>
      <c r="B18">
        <v>0.55500000000000005</v>
      </c>
      <c r="C18">
        <v>782.03393000000005</v>
      </c>
      <c r="D18">
        <v>0.99356999999999995</v>
      </c>
      <c r="E18">
        <v>-0.11377</v>
      </c>
      <c r="F18">
        <v>39.185630000000003</v>
      </c>
      <c r="G18">
        <v>-0.24248</v>
      </c>
      <c r="H18">
        <v>-0.30538999999999999</v>
      </c>
      <c r="I18">
        <v>1.0399999999999999E-3</v>
      </c>
      <c r="K18">
        <v>12.971</v>
      </c>
      <c r="L18">
        <f t="shared" si="0"/>
        <v>0.55547106481481479</v>
      </c>
      <c r="M18">
        <v>782.03393000000005</v>
      </c>
    </row>
    <row r="19" spans="1:13">
      <c r="A19">
        <v>170.00001</v>
      </c>
      <c r="B19">
        <v>0.55998999999999999</v>
      </c>
      <c r="C19">
        <v>783.48833999999999</v>
      </c>
      <c r="D19">
        <v>0.88590000000000002</v>
      </c>
      <c r="E19">
        <v>-4.4299999999999999E-2</v>
      </c>
      <c r="F19">
        <v>39.114370000000001</v>
      </c>
      <c r="G19">
        <v>-0.24143999999999999</v>
      </c>
      <c r="H19">
        <v>-0.31436999999999998</v>
      </c>
      <c r="I19">
        <v>-1.3180000000000001E-2</v>
      </c>
      <c r="K19">
        <v>12.948</v>
      </c>
      <c r="L19">
        <f t="shared" si="0"/>
        <v>0.55947149074074076</v>
      </c>
      <c r="M19">
        <v>783.48833999999999</v>
      </c>
    </row>
    <row r="20" spans="1:13">
      <c r="A20" t="s">
        <v>9</v>
      </c>
      <c r="B20">
        <v>0.56499999999999995</v>
      </c>
      <c r="C20">
        <v>789.69701999999995</v>
      </c>
      <c r="D20">
        <v>0.97223999999999999</v>
      </c>
      <c r="E20">
        <v>2.2200000000000001E-2</v>
      </c>
      <c r="F20">
        <v>39.040280000000003</v>
      </c>
      <c r="G20">
        <v>-0.24368000000000001</v>
      </c>
      <c r="H20">
        <v>-0.30747999999999998</v>
      </c>
      <c r="I20">
        <v>-9.5200000000000007E-3</v>
      </c>
      <c r="K20">
        <v>12.96</v>
      </c>
      <c r="L20">
        <f t="shared" si="0"/>
        <v>0.56499999999999995</v>
      </c>
      <c r="M20">
        <v>789.69701999999995</v>
      </c>
    </row>
    <row r="21" spans="1:13">
      <c r="A21">
        <v>190.00003000000001</v>
      </c>
      <c r="B21">
        <v>0.56999</v>
      </c>
      <c r="C21">
        <v>793.62352999999996</v>
      </c>
      <c r="D21">
        <v>0.94837000000000005</v>
      </c>
      <c r="E21">
        <v>-3.3579999999999999E-2</v>
      </c>
      <c r="F21">
        <v>38.934600000000003</v>
      </c>
      <c r="G21">
        <v>-0.23318</v>
      </c>
      <c r="H21">
        <v>-0.31185000000000002</v>
      </c>
      <c r="I21">
        <v>-1.5910000000000001E-2</v>
      </c>
      <c r="K21">
        <v>12.935</v>
      </c>
      <c r="L21">
        <f t="shared" si="0"/>
        <v>0.56889048225308636</v>
      </c>
      <c r="M21">
        <v>793.62352999999996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rotor_thrust_result_13_5V_with_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ASUS</cp:lastModifiedBy>
  <dcterms:created xsi:type="dcterms:W3CDTF">2026-03-28T11:22:47Z</dcterms:created>
  <dcterms:modified xsi:type="dcterms:W3CDTF">2026-03-28T11:22:49Z</dcterms:modified>
</cp:coreProperties>
</file>